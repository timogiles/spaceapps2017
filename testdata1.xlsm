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480" yWindow="315" windowWidth="16035" windowHeight="7725" activeTab="1"/>
  </bookViews>
  <sheets>
    <sheet name="Sheet1" sheetId="1" r:id="rId1"/>
    <sheet name="Sheet2" sheetId="2" r:id="rId2"/>
    <sheet name="Sheet3" sheetId="3" r:id="rId3"/>
  </sheets>
  <calcPr calcId="125725"/>
</workbook>
</file>

<file path=xl/calcChain.xml><?xml version="1.0" encoding="utf-8"?>
<calcChain xmlns="http://schemas.openxmlformats.org/spreadsheetml/2006/main">
  <c r="N40" i="2"/>
  <c r="N39"/>
  <c r="N38"/>
  <c r="N37"/>
  <c r="N26"/>
  <c r="N25"/>
  <c r="N24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E37"/>
  <c r="E38"/>
  <c r="E39"/>
  <c r="E40"/>
  <c r="E41"/>
  <c r="E42"/>
  <c r="E18"/>
  <c r="D18" s="1"/>
  <c r="M19"/>
  <c r="M20"/>
  <c r="M21"/>
  <c r="M22"/>
  <c r="M23"/>
  <c r="M24"/>
  <c r="M25"/>
  <c r="M26"/>
  <c r="M27"/>
  <c r="M28"/>
  <c r="M29"/>
  <c r="M30"/>
  <c r="M31"/>
  <c r="M32"/>
  <c r="M33"/>
  <c r="M34"/>
  <c r="M35"/>
  <c r="M36"/>
  <c r="M37"/>
  <c r="M38"/>
  <c r="M39"/>
  <c r="M40"/>
  <c r="M41"/>
  <c r="M42"/>
  <c r="M18"/>
  <c r="L27"/>
  <c r="L28"/>
  <c r="L29"/>
  <c r="L30"/>
  <c r="L31"/>
  <c r="L32"/>
  <c r="L33"/>
  <c r="L34"/>
  <c r="L35"/>
  <c r="L36"/>
  <c r="L37"/>
  <c r="L38"/>
  <c r="L39"/>
  <c r="L40"/>
  <c r="L26"/>
  <c r="K40"/>
  <c r="I39"/>
  <c r="H38"/>
  <c r="J25"/>
  <c r="G19"/>
  <c r="G20"/>
  <c r="G21"/>
  <c r="G22"/>
  <c r="G23"/>
  <c r="G24"/>
  <c r="G25"/>
  <c r="G26"/>
  <c r="G27"/>
  <c r="G28"/>
  <c r="G29"/>
  <c r="G30"/>
  <c r="G31"/>
  <c r="G32"/>
  <c r="G33"/>
  <c r="G34"/>
  <c r="G35"/>
  <c r="G36"/>
  <c r="G37"/>
  <c r="G38"/>
  <c r="G39"/>
  <c r="G40"/>
  <c r="G41"/>
  <c r="G42"/>
  <c r="F19"/>
  <c r="F20"/>
  <c r="F21"/>
  <c r="F22"/>
  <c r="F23"/>
  <c r="F24"/>
  <c r="F25"/>
  <c r="F26"/>
  <c r="F27"/>
  <c r="F28"/>
  <c r="F29"/>
  <c r="F30"/>
  <c r="F31"/>
  <c r="F32"/>
  <c r="F33"/>
  <c r="F34"/>
  <c r="F35"/>
  <c r="F36"/>
  <c r="F37"/>
  <c r="F38"/>
  <c r="F39"/>
  <c r="F40"/>
  <c r="F41"/>
  <c r="F42"/>
  <c r="G18"/>
  <c r="F18"/>
  <c r="B40"/>
  <c r="B39"/>
  <c r="B38"/>
  <c r="B37"/>
  <c r="B36"/>
  <c r="B35"/>
  <c r="B34"/>
  <c r="B33"/>
  <c r="B32"/>
  <c r="B31"/>
  <c r="B30"/>
  <c r="B29"/>
  <c r="B28"/>
  <c r="B27"/>
  <c r="B26"/>
  <c r="B25"/>
  <c r="I14"/>
  <c r="I8"/>
  <c r="I7"/>
  <c r="E13"/>
  <c r="G13" s="1"/>
  <c r="K13"/>
  <c r="I12"/>
  <c r="I11"/>
  <c r="I10"/>
  <c r="I9"/>
  <c r="L7"/>
  <c r="D19" l="1"/>
  <c r="D20" l="1"/>
  <c r="D21" l="1"/>
  <c r="D22" l="1"/>
  <c r="D23" l="1"/>
  <c r="D24" l="1"/>
  <c r="D25" l="1"/>
  <c r="D26" l="1"/>
  <c r="D27" l="1"/>
  <c r="D28" l="1"/>
  <c r="D29" l="1"/>
  <c r="D30" l="1"/>
  <c r="D31" s="1"/>
  <c r="D32" s="1"/>
  <c r="D33" s="1"/>
  <c r="D34" s="1"/>
  <c r="D35" s="1"/>
  <c r="D36" s="1"/>
  <c r="D37" s="1"/>
  <c r="D38" s="1"/>
  <c r="D39" s="1"/>
  <c r="D40" s="1"/>
  <c r="D41" s="1"/>
  <c r="D42" s="1"/>
</calcChain>
</file>

<file path=xl/sharedStrings.xml><?xml version="1.0" encoding="utf-8"?>
<sst xmlns="http://schemas.openxmlformats.org/spreadsheetml/2006/main" count="44" uniqueCount="34">
  <si>
    <t>Datasets</t>
  </si>
  <si>
    <t>Location</t>
  </si>
  <si>
    <t>FL</t>
  </si>
  <si>
    <t>Tampa</t>
  </si>
  <si>
    <t>city</t>
  </si>
  <si>
    <t>state</t>
  </si>
  <si>
    <t>zip</t>
  </si>
  <si>
    <t>lat</t>
  </si>
  <si>
    <t>long</t>
  </si>
  <si>
    <t>Sunrise</t>
  </si>
  <si>
    <t>Sunset</t>
  </si>
  <si>
    <t>Devices</t>
  </si>
  <si>
    <t>Starting Battery Power</t>
  </si>
  <si>
    <t>Refridgerator (food)</t>
  </si>
  <si>
    <t>Refridgerator (lab)</t>
  </si>
  <si>
    <t>Washer</t>
  </si>
  <si>
    <t>Dryer</t>
  </si>
  <si>
    <t>Coffee Maker</t>
  </si>
  <si>
    <t>Dishwasher</t>
  </si>
  <si>
    <t>Laptop</t>
  </si>
  <si>
    <t>Hotwater Heater</t>
  </si>
  <si>
    <t>kWh</t>
  </si>
  <si>
    <t>On Duration</t>
  </si>
  <si>
    <t>Hours/Month</t>
  </si>
  <si>
    <t>kWh/Month</t>
  </si>
  <si>
    <t>Months Used</t>
  </si>
  <si>
    <t>kWh/Yr</t>
  </si>
  <si>
    <t>$/Yr</t>
  </si>
  <si>
    <t>Solar Output</t>
  </si>
  <si>
    <t>Solar Panel Wattage</t>
  </si>
  <si>
    <t>Number Of Panels</t>
  </si>
  <si>
    <t>Wh</t>
  </si>
  <si>
    <t>Cloud Cover</t>
  </si>
  <si>
    <t>Lighting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</si>
</sst>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20" fontId="0" fillId="0" borderId="0" xfId="0" applyNumberFormat="1"/>
    <xf numFmtId="0" fontId="0" fillId="0" borderId="0" xfId="0" applyNumberFormat="1"/>
    <xf numFmtId="20" fontId="1" fillId="0" borderId="0" xfId="0" applyNumberFormat="1" applyFont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marker>
            <c:symbol val="none"/>
          </c:marker>
          <c:xVal>
            <c:numRef>
              <c:f>Sheet2!$C$18:$C$42</c:f>
              <c:numCache>
                <c:formatCode>h:mm</c:formatCode>
                <c:ptCount val="25"/>
                <c:pt idx="0">
                  <c:v>0</c:v>
                </c:pt>
                <c:pt idx="1">
                  <c:v>4.1666666666666664E-2</c:v>
                </c:pt>
                <c:pt idx="2">
                  <c:v>8.3333333333333301E-2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0.33333333333333298</c:v>
                </c:pt>
                <c:pt idx="9">
                  <c:v>0.375</c:v>
                </c:pt>
                <c:pt idx="10">
                  <c:v>0.41666666666666702</c:v>
                </c:pt>
                <c:pt idx="11">
                  <c:v>0.45833333333333298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0.58333333333333304</c:v>
                </c:pt>
                <c:pt idx="15">
                  <c:v>0.625</c:v>
                </c:pt>
                <c:pt idx="16">
                  <c:v>0.66666666666666696</c:v>
                </c:pt>
                <c:pt idx="17">
                  <c:v>0.70833333333333304</c:v>
                </c:pt>
                <c:pt idx="18">
                  <c:v>0.75</c:v>
                </c:pt>
                <c:pt idx="19">
                  <c:v>0.79166666666666696</c:v>
                </c:pt>
                <c:pt idx="20">
                  <c:v>0.83333333333333304</c:v>
                </c:pt>
                <c:pt idx="21">
                  <c:v>0.875</c:v>
                </c:pt>
                <c:pt idx="22">
                  <c:v>0.91666666666666696</c:v>
                </c:pt>
                <c:pt idx="23">
                  <c:v>0.95833333333333304</c:v>
                </c:pt>
                <c:pt idx="24">
                  <c:v>1</c:v>
                </c:pt>
              </c:numCache>
            </c:numRef>
          </c:xVal>
          <c:yVal>
            <c:numRef>
              <c:f>Sheet2!$D$18:$D$42</c:f>
              <c:numCache>
                <c:formatCode>General</c:formatCode>
                <c:ptCount val="25"/>
                <c:pt idx="0">
                  <c:v>27.338888888888889</c:v>
                </c:pt>
                <c:pt idx="1">
                  <c:v>24.677777777777777</c:v>
                </c:pt>
                <c:pt idx="2">
                  <c:v>22.016666666666666</c:v>
                </c:pt>
                <c:pt idx="3">
                  <c:v>19.355555555555554</c:v>
                </c:pt>
                <c:pt idx="4">
                  <c:v>16.694444444444443</c:v>
                </c:pt>
                <c:pt idx="5">
                  <c:v>14.033333333333331</c:v>
                </c:pt>
                <c:pt idx="6">
                  <c:v>11.37222222222222</c:v>
                </c:pt>
                <c:pt idx="7">
                  <c:v>10.557993176141681</c:v>
                </c:pt>
                <c:pt idx="8">
                  <c:v>11.132743126274905</c:v>
                </c:pt>
                <c:pt idx="9">
                  <c:v>13.196480647045117</c:v>
                </c:pt>
                <c:pt idx="10">
                  <c:v>16.565326688903145</c:v>
                </c:pt>
                <c:pt idx="11">
                  <c:v>21.005247613747706</c:v>
                </c:pt>
                <c:pt idx="12">
                  <c:v>26.241048976390051</c:v>
                </c:pt>
                <c:pt idx="13">
                  <c:v>31.966951092751763</c:v>
                </c:pt>
                <c:pt idx="14">
                  <c:v>37.858339981640654</c:v>
                </c:pt>
                <c:pt idx="15">
                  <c:v>43.584242098002363</c:v>
                </c:pt>
                <c:pt idx="16">
                  <c:v>48.820043460644712</c:v>
                </c:pt>
                <c:pt idx="17">
                  <c:v>53.259964385489276</c:v>
                </c:pt>
                <c:pt idx="18">
                  <c:v>56.628810427347304</c:v>
                </c:pt>
                <c:pt idx="19">
                  <c:v>58.692547948117515</c:v>
                </c:pt>
                <c:pt idx="20">
                  <c:v>58.967297898250742</c:v>
                </c:pt>
                <c:pt idx="21">
                  <c:v>55.426402185503541</c:v>
                </c:pt>
                <c:pt idx="22">
                  <c:v>52.205291074392434</c:v>
                </c:pt>
                <c:pt idx="23">
                  <c:v>49.544179963281323</c:v>
                </c:pt>
                <c:pt idx="24">
                  <c:v>46.883068852170211</c:v>
                </c:pt>
              </c:numCache>
            </c:numRef>
          </c:yVal>
        </c:ser>
        <c:ser>
          <c:idx val="1"/>
          <c:order val="1"/>
          <c:marker>
            <c:symbol val="none"/>
          </c:marker>
          <c:xVal>
            <c:numRef>
              <c:f>Sheet2!$C$18:$C$42</c:f>
              <c:numCache>
                <c:formatCode>h:mm</c:formatCode>
                <c:ptCount val="25"/>
                <c:pt idx="0">
                  <c:v>0</c:v>
                </c:pt>
                <c:pt idx="1">
                  <c:v>4.1666666666666664E-2</c:v>
                </c:pt>
                <c:pt idx="2">
                  <c:v>8.3333333333333301E-2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0.33333333333333298</c:v>
                </c:pt>
                <c:pt idx="9">
                  <c:v>0.375</c:v>
                </c:pt>
                <c:pt idx="10">
                  <c:v>0.41666666666666702</c:v>
                </c:pt>
                <c:pt idx="11">
                  <c:v>0.45833333333333298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0.58333333333333304</c:v>
                </c:pt>
                <c:pt idx="15">
                  <c:v>0.625</c:v>
                </c:pt>
                <c:pt idx="16">
                  <c:v>0.66666666666666696</c:v>
                </c:pt>
                <c:pt idx="17">
                  <c:v>0.70833333333333304</c:v>
                </c:pt>
                <c:pt idx="18">
                  <c:v>0.75</c:v>
                </c:pt>
                <c:pt idx="19">
                  <c:v>0.79166666666666696</c:v>
                </c:pt>
                <c:pt idx="20">
                  <c:v>0.83333333333333304</c:v>
                </c:pt>
                <c:pt idx="21">
                  <c:v>0.875</c:v>
                </c:pt>
                <c:pt idx="22">
                  <c:v>0.91666666666666696</c:v>
                </c:pt>
                <c:pt idx="23">
                  <c:v>0.95833333333333304</c:v>
                </c:pt>
                <c:pt idx="24">
                  <c:v>1</c:v>
                </c:pt>
              </c:numCache>
            </c:numRef>
          </c:xVal>
          <c:yVal>
            <c:numRef>
              <c:f>Sheet2!$E$18:$E$42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1.6802153983639043</c:v>
                </c:pt>
                <c:pt idx="8">
                  <c:v>3.2958610612443353</c:v>
                </c:pt>
                <c:pt idx="9">
                  <c:v>4.7848486318813226</c:v>
                </c:pt>
                <c:pt idx="10">
                  <c:v>6.0899571529691396</c:v>
                </c:pt>
                <c:pt idx="11">
                  <c:v>7.1610320359556701</c:v>
                </c:pt>
                <c:pt idx="12">
                  <c:v>7.956912473753456</c:v>
                </c:pt>
                <c:pt idx="13">
                  <c:v>8.4470132274728211</c:v>
                </c:pt>
                <c:pt idx="14">
                  <c:v>8.6124999999999989</c:v>
                </c:pt>
                <c:pt idx="15">
                  <c:v>8.4470132274728211</c:v>
                </c:pt>
                <c:pt idx="16">
                  <c:v>7.956912473753456</c:v>
                </c:pt>
                <c:pt idx="17">
                  <c:v>7.1610320359556718</c:v>
                </c:pt>
                <c:pt idx="18">
                  <c:v>6.0899571529691405</c:v>
                </c:pt>
                <c:pt idx="19">
                  <c:v>4.7848486318813226</c:v>
                </c:pt>
                <c:pt idx="20">
                  <c:v>3.2958610612443366</c:v>
                </c:pt>
                <c:pt idx="21">
                  <c:v>1.6802153983639074</c:v>
                </c:pt>
                <c:pt idx="22">
                  <c:v>1.0551591067900488E-15</c:v>
                </c:pt>
                <c:pt idx="23">
                  <c:v>0</c:v>
                </c:pt>
                <c:pt idx="24">
                  <c:v>0</c:v>
                </c:pt>
              </c:numCache>
            </c:numRef>
          </c:yVal>
        </c:ser>
        <c:axId val="56063872"/>
        <c:axId val="56062336"/>
      </c:scatterChart>
      <c:valAx>
        <c:axId val="56063872"/>
        <c:scaling>
          <c:orientation val="minMax"/>
          <c:max val="1"/>
          <c:min val="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</a:t>
                </a:r>
                <a:r>
                  <a:rPr lang="en-US" baseline="0"/>
                  <a:t>e of Day</a:t>
                </a:r>
                <a:endParaRPr lang="en-US"/>
              </a:p>
            </c:rich>
          </c:tx>
          <c:layout/>
        </c:title>
        <c:numFmt formatCode="h:mm" sourceLinked="1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6062336"/>
        <c:crosses val="autoZero"/>
        <c:crossBetween val="midCat"/>
        <c:majorUnit val="4.1666666000000012E-2"/>
      </c:valAx>
      <c:valAx>
        <c:axId val="56062336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kWh of</a:t>
                </a:r>
                <a:r>
                  <a:rPr lang="en-US" baseline="0"/>
                  <a:t> Stored Energy</a:t>
                </a:r>
                <a:endParaRPr lang="en-US"/>
              </a:p>
            </c:rich>
          </c:tx>
          <c:layout/>
        </c:title>
        <c:numFmt formatCode="General" sourceLinked="1"/>
        <c:tickLblPos val="nextTo"/>
        <c:crossAx val="56063872"/>
        <c:crosses val="autoZero"/>
        <c:crossBetween val="midCat"/>
      </c:valAx>
    </c:plotArea>
    <c:plotVisOnly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533400</xdr:colOff>
      <xdr:row>3</xdr:row>
      <xdr:rowOff>28575</xdr:rowOff>
    </xdr:from>
    <xdr:to>
      <xdr:col>26</xdr:col>
      <xdr:colOff>400050</xdr:colOff>
      <xdr:row>29</xdr:row>
      <xdr:rowOff>19049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F9"/>
  <sheetViews>
    <sheetView workbookViewId="0">
      <selection activeCell="B9" sqref="B9"/>
    </sheetView>
  </sheetViews>
  <sheetFormatPr defaultRowHeight="15"/>
  <sheetData>
    <row r="1" spans="1:6">
      <c r="A1" t="s">
        <v>0</v>
      </c>
    </row>
    <row r="2" spans="1:6">
      <c r="B2" t="s">
        <v>4</v>
      </c>
      <c r="C2" t="s">
        <v>5</v>
      </c>
      <c r="D2" t="s">
        <v>6</v>
      </c>
      <c r="E2" t="s">
        <v>7</v>
      </c>
      <c r="F2" t="s">
        <v>8</v>
      </c>
    </row>
    <row r="3" spans="1:6">
      <c r="A3" t="s">
        <v>1</v>
      </c>
      <c r="B3" t="s">
        <v>3</v>
      </c>
      <c r="C3" t="s">
        <v>2</v>
      </c>
      <c r="D3">
        <v>33602</v>
      </c>
      <c r="E3">
        <v>27.962133300000001</v>
      </c>
      <c r="F3">
        <v>-82.444843899999995</v>
      </c>
    </row>
    <row r="5" spans="1:6">
      <c r="A5" t="s">
        <v>9</v>
      </c>
      <c r="B5" s="1">
        <v>0.28611111111111115</v>
      </c>
    </row>
    <row r="6" spans="1:6">
      <c r="A6" t="s">
        <v>10</v>
      </c>
      <c r="B6" s="1">
        <v>0.83472222222222225</v>
      </c>
    </row>
    <row r="9" spans="1:6">
      <c r="A9" t="s">
        <v>11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N43"/>
  <sheetViews>
    <sheetView tabSelected="1" topLeftCell="A4" zoomScale="80" zoomScaleNormal="80" workbookViewId="0">
      <selection activeCell="D17" sqref="D17"/>
    </sheetView>
  </sheetViews>
  <sheetFormatPr defaultRowHeight="15"/>
  <cols>
    <col min="3" max="3" width="21.140625" bestFit="1" customWidth="1"/>
    <col min="4" max="4" width="9.140625" style="2"/>
  </cols>
  <sheetData>
    <row r="1" spans="3:12">
      <c r="C1" t="s">
        <v>12</v>
      </c>
      <c r="D1">
        <v>30</v>
      </c>
      <c r="E1" t="s">
        <v>21</v>
      </c>
    </row>
    <row r="2" spans="3:12">
      <c r="C2" t="s">
        <v>29</v>
      </c>
      <c r="D2">
        <v>265</v>
      </c>
      <c r="E2" t="s">
        <v>31</v>
      </c>
    </row>
    <row r="3" spans="3:12">
      <c r="C3" t="s">
        <v>30</v>
      </c>
      <c r="D3">
        <v>100</v>
      </c>
    </row>
    <row r="4" spans="3:12">
      <c r="C4" t="s">
        <v>32</v>
      </c>
      <c r="D4">
        <v>75</v>
      </c>
      <c r="E4">
        <v>100</v>
      </c>
    </row>
    <row r="5" spans="3:12">
      <c r="D5"/>
    </row>
    <row r="6" spans="3:12">
      <c r="D6" t="s">
        <v>23</v>
      </c>
      <c r="E6" t="s">
        <v>24</v>
      </c>
      <c r="F6" t="s">
        <v>25</v>
      </c>
      <c r="G6" t="s">
        <v>26</v>
      </c>
      <c r="H6" t="s">
        <v>27</v>
      </c>
      <c r="I6" t="s">
        <v>21</v>
      </c>
      <c r="J6" t="s">
        <v>22</v>
      </c>
    </row>
    <row r="7" spans="3:12">
      <c r="C7" t="s">
        <v>13</v>
      </c>
      <c r="D7">
        <v>720</v>
      </c>
      <c r="E7">
        <v>32</v>
      </c>
      <c r="F7">
        <v>12</v>
      </c>
      <c r="G7">
        <v>381</v>
      </c>
      <c r="H7">
        <v>61</v>
      </c>
      <c r="I7">
        <f>E7/30</f>
        <v>1.0666666666666667</v>
      </c>
      <c r="J7">
        <v>24</v>
      </c>
      <c r="L7">
        <f>24*30</f>
        <v>720</v>
      </c>
    </row>
    <row r="8" spans="3:12">
      <c r="C8" t="s">
        <v>14</v>
      </c>
      <c r="D8">
        <v>720</v>
      </c>
      <c r="E8">
        <v>32</v>
      </c>
      <c r="F8">
        <v>12</v>
      </c>
      <c r="G8">
        <v>381</v>
      </c>
      <c r="H8">
        <v>61</v>
      </c>
      <c r="I8">
        <f>E8/30</f>
        <v>1.0666666666666667</v>
      </c>
      <c r="J8">
        <v>24</v>
      </c>
    </row>
    <row r="9" spans="3:12">
      <c r="C9" t="s">
        <v>15</v>
      </c>
      <c r="D9">
        <v>7</v>
      </c>
      <c r="E9">
        <v>9</v>
      </c>
      <c r="F9">
        <v>12</v>
      </c>
      <c r="G9">
        <v>108</v>
      </c>
      <c r="H9">
        <v>17</v>
      </c>
      <c r="I9">
        <f>E9/30</f>
        <v>0.3</v>
      </c>
      <c r="J9">
        <v>1</v>
      </c>
    </row>
    <row r="10" spans="3:12">
      <c r="C10" t="s">
        <v>16</v>
      </c>
      <c r="D10">
        <v>6</v>
      </c>
      <c r="E10">
        <v>75</v>
      </c>
      <c r="F10">
        <v>12</v>
      </c>
      <c r="G10">
        <v>901</v>
      </c>
      <c r="H10">
        <v>149</v>
      </c>
      <c r="I10">
        <f>E10/30</f>
        <v>2.5</v>
      </c>
      <c r="J10">
        <v>1</v>
      </c>
    </row>
    <row r="11" spans="3:12">
      <c r="C11" t="s">
        <v>17</v>
      </c>
      <c r="D11">
        <v>30</v>
      </c>
      <c r="E11">
        <v>5</v>
      </c>
      <c r="F11">
        <v>12</v>
      </c>
      <c r="G11">
        <v>60</v>
      </c>
      <c r="H11">
        <v>10</v>
      </c>
      <c r="I11">
        <f>E11/30</f>
        <v>0.16666666666666666</v>
      </c>
      <c r="J11">
        <v>1</v>
      </c>
    </row>
    <row r="12" spans="3:12">
      <c r="C12" t="s">
        <v>18</v>
      </c>
      <c r="D12">
        <v>30</v>
      </c>
      <c r="E12">
        <v>15</v>
      </c>
      <c r="F12">
        <v>12</v>
      </c>
      <c r="G12">
        <v>180</v>
      </c>
      <c r="H12">
        <v>47</v>
      </c>
      <c r="I12">
        <f>E12/30</f>
        <v>0.5</v>
      </c>
      <c r="J12">
        <v>1</v>
      </c>
    </row>
    <row r="13" spans="3:12">
      <c r="C13" t="s">
        <v>19</v>
      </c>
      <c r="D13">
        <v>450</v>
      </c>
      <c r="E13">
        <f>D13*0.06</f>
        <v>27</v>
      </c>
      <c r="F13">
        <v>12</v>
      </c>
      <c r="G13">
        <f>E13*12</f>
        <v>324</v>
      </c>
      <c r="I13">
        <v>0.06</v>
      </c>
      <c r="J13">
        <v>15</v>
      </c>
      <c r="K13">
        <f>J13*30</f>
        <v>450</v>
      </c>
    </row>
    <row r="14" spans="3:12">
      <c r="C14" t="s">
        <v>20</v>
      </c>
      <c r="D14"/>
      <c r="E14">
        <v>380</v>
      </c>
      <c r="F14">
        <v>12</v>
      </c>
      <c r="G14">
        <v>4559</v>
      </c>
      <c r="H14">
        <v>729</v>
      </c>
      <c r="I14">
        <f>E14/30/24</f>
        <v>0.52777777777777779</v>
      </c>
      <c r="J14">
        <v>24</v>
      </c>
    </row>
    <row r="15" spans="3:12">
      <c r="C15" t="s">
        <v>33</v>
      </c>
      <c r="D15"/>
      <c r="I15">
        <v>0.15</v>
      </c>
      <c r="J15">
        <v>7</v>
      </c>
    </row>
    <row r="16" spans="3:12">
      <c r="D16"/>
    </row>
    <row r="17" spans="1:14">
      <c r="D17"/>
      <c r="E17" t="s">
        <v>28</v>
      </c>
      <c r="F17" t="s">
        <v>13</v>
      </c>
      <c r="G17" t="s">
        <v>14</v>
      </c>
      <c r="H17" t="s">
        <v>15</v>
      </c>
      <c r="I17" t="s">
        <v>16</v>
      </c>
      <c r="J17" t="s">
        <v>17</v>
      </c>
      <c r="K17" t="s">
        <v>18</v>
      </c>
      <c r="L17" t="s">
        <v>19</v>
      </c>
      <c r="M17" t="s">
        <v>20</v>
      </c>
      <c r="N17" t="s">
        <v>33</v>
      </c>
    </row>
    <row r="18" spans="1:14">
      <c r="C18" s="3">
        <v>0</v>
      </c>
      <c r="D18" s="2">
        <f>D1+SUM(E18:M18)</f>
        <v>27.338888888888889</v>
      </c>
      <c r="E18">
        <f>$D$2/1000*$D$3*SIN(B18)*(1-(0.9*D$4/100))</f>
        <v>0</v>
      </c>
      <c r="F18">
        <f>-I$7</f>
        <v>-1.0666666666666667</v>
      </c>
      <c r="G18">
        <f>-I$8</f>
        <v>-1.0666666666666667</v>
      </c>
      <c r="M18">
        <f>-I$14</f>
        <v>-0.52777777777777779</v>
      </c>
    </row>
    <row r="19" spans="1:14">
      <c r="C19" s="3">
        <v>4.1666666666666664E-2</v>
      </c>
      <c r="D19" s="2">
        <f>D18+SUM(E19:M19)</f>
        <v>24.677777777777777</v>
      </c>
      <c r="E19">
        <f t="shared" ref="E19:E42" si="0">$D$2/1000*$D$3*SIN(B19)*(1-(0.9*D$4/100))</f>
        <v>0</v>
      </c>
      <c r="F19">
        <f t="shared" ref="F19:F42" si="1">-I$7</f>
        <v>-1.0666666666666667</v>
      </c>
      <c r="G19">
        <f t="shared" ref="G19:G42" si="2">-I$8</f>
        <v>-1.0666666666666667</v>
      </c>
      <c r="M19">
        <f t="shared" ref="M19:M42" si="3">-I$14</f>
        <v>-0.52777777777777779</v>
      </c>
    </row>
    <row r="20" spans="1:14">
      <c r="C20" s="3">
        <v>8.3333333333333301E-2</v>
      </c>
      <c r="D20" s="2">
        <f t="shared" ref="D20:D42" si="4">D19+SUM(E20:M20)</f>
        <v>22.016666666666666</v>
      </c>
      <c r="E20">
        <f t="shared" si="0"/>
        <v>0</v>
      </c>
      <c r="F20">
        <f t="shared" si="1"/>
        <v>-1.0666666666666667</v>
      </c>
      <c r="G20">
        <f t="shared" si="2"/>
        <v>-1.0666666666666667</v>
      </c>
      <c r="M20">
        <f t="shared" si="3"/>
        <v>-0.52777777777777779</v>
      </c>
    </row>
    <row r="21" spans="1:14">
      <c r="C21" s="3">
        <v>0.125</v>
      </c>
      <c r="D21" s="2">
        <f t="shared" si="4"/>
        <v>19.355555555555554</v>
      </c>
      <c r="E21">
        <f t="shared" si="0"/>
        <v>0</v>
      </c>
      <c r="F21">
        <f t="shared" si="1"/>
        <v>-1.0666666666666667</v>
      </c>
      <c r="G21">
        <f t="shared" si="2"/>
        <v>-1.0666666666666667</v>
      </c>
      <c r="M21">
        <f t="shared" si="3"/>
        <v>-0.52777777777777779</v>
      </c>
    </row>
    <row r="22" spans="1:14">
      <c r="C22" s="3">
        <v>0.16666666666666699</v>
      </c>
      <c r="D22" s="2">
        <f t="shared" si="4"/>
        <v>16.694444444444443</v>
      </c>
      <c r="E22">
        <f t="shared" si="0"/>
        <v>0</v>
      </c>
      <c r="F22">
        <f t="shared" si="1"/>
        <v>-1.0666666666666667</v>
      </c>
      <c r="G22">
        <f t="shared" si="2"/>
        <v>-1.0666666666666667</v>
      </c>
      <c r="M22">
        <f t="shared" si="3"/>
        <v>-0.52777777777777779</v>
      </c>
    </row>
    <row r="23" spans="1:14">
      <c r="C23" s="3">
        <v>0.20833333333333301</v>
      </c>
      <c r="D23" s="2">
        <f t="shared" si="4"/>
        <v>14.033333333333331</v>
      </c>
      <c r="E23">
        <f t="shared" si="0"/>
        <v>0</v>
      </c>
      <c r="F23">
        <f t="shared" si="1"/>
        <v>-1.0666666666666667</v>
      </c>
      <c r="G23">
        <f t="shared" si="2"/>
        <v>-1.0666666666666667</v>
      </c>
      <c r="M23">
        <f t="shared" si="3"/>
        <v>-0.52777777777777779</v>
      </c>
    </row>
    <row r="24" spans="1:14">
      <c r="C24" s="3">
        <v>0.25</v>
      </c>
      <c r="D24" s="2">
        <f t="shared" si="4"/>
        <v>11.37222222222222</v>
      </c>
      <c r="E24">
        <f t="shared" si="0"/>
        <v>0</v>
      </c>
      <c r="F24">
        <f t="shared" si="1"/>
        <v>-1.0666666666666667</v>
      </c>
      <c r="G24">
        <f t="shared" si="2"/>
        <v>-1.0666666666666667</v>
      </c>
      <c r="M24">
        <f t="shared" si="3"/>
        <v>-0.52777777777777779</v>
      </c>
      <c r="N24">
        <f>-I$15</f>
        <v>-0.15</v>
      </c>
    </row>
    <row r="25" spans="1:14">
      <c r="A25">
        <v>1</v>
      </c>
      <c r="B25">
        <f>PI()/16*A25</f>
        <v>0.19634954084936207</v>
      </c>
      <c r="C25" s="3">
        <v>0.29166666666666702</v>
      </c>
      <c r="D25" s="2">
        <f t="shared" si="4"/>
        <v>10.557993176141681</v>
      </c>
      <c r="E25">
        <f t="shared" si="0"/>
        <v>1.6802153983639043</v>
      </c>
      <c r="F25">
        <f t="shared" si="1"/>
        <v>-1.0666666666666667</v>
      </c>
      <c r="G25">
        <f t="shared" si="2"/>
        <v>-1.0666666666666667</v>
      </c>
      <c r="J25">
        <f>I11</f>
        <v>0.16666666666666666</v>
      </c>
      <c r="M25">
        <f t="shared" si="3"/>
        <v>-0.52777777777777779</v>
      </c>
      <c r="N25">
        <f>-I$15</f>
        <v>-0.15</v>
      </c>
    </row>
    <row r="26" spans="1:14">
      <c r="A26">
        <v>2</v>
      </c>
      <c r="B26">
        <f>PI()/16*A26</f>
        <v>0.39269908169872414</v>
      </c>
      <c r="C26" s="3">
        <v>0.33333333333333298</v>
      </c>
      <c r="D26" s="2">
        <f t="shared" si="4"/>
        <v>11.132743126274905</v>
      </c>
      <c r="E26">
        <f t="shared" si="0"/>
        <v>3.2958610612443353</v>
      </c>
      <c r="F26">
        <f t="shared" si="1"/>
        <v>-1.0666666666666667</v>
      </c>
      <c r="G26">
        <f t="shared" si="2"/>
        <v>-1.0666666666666667</v>
      </c>
      <c r="L26">
        <f>-I$13</f>
        <v>-0.06</v>
      </c>
      <c r="M26">
        <f t="shared" si="3"/>
        <v>-0.52777777777777779</v>
      </c>
      <c r="N26">
        <f>-I$15</f>
        <v>-0.15</v>
      </c>
    </row>
    <row r="27" spans="1:14">
      <c r="A27">
        <v>3</v>
      </c>
      <c r="B27">
        <f>PI()/16*A27</f>
        <v>0.58904862254808621</v>
      </c>
      <c r="C27" s="3">
        <v>0.375</v>
      </c>
      <c r="D27" s="2">
        <f t="shared" si="4"/>
        <v>13.196480647045117</v>
      </c>
      <c r="E27">
        <f t="shared" si="0"/>
        <v>4.7848486318813226</v>
      </c>
      <c r="F27">
        <f t="shared" si="1"/>
        <v>-1.0666666666666667</v>
      </c>
      <c r="G27">
        <f t="shared" si="2"/>
        <v>-1.0666666666666667</v>
      </c>
      <c r="L27">
        <f t="shared" ref="L27:L40" si="5">-I$13</f>
        <v>-0.06</v>
      </c>
      <c r="M27">
        <f t="shared" si="3"/>
        <v>-0.52777777777777779</v>
      </c>
    </row>
    <row r="28" spans="1:14">
      <c r="A28">
        <v>4</v>
      </c>
      <c r="B28">
        <f>PI()/16*A28</f>
        <v>0.78539816339744828</v>
      </c>
      <c r="C28" s="3">
        <v>0.41666666666666702</v>
      </c>
      <c r="D28" s="2">
        <f t="shared" si="4"/>
        <v>16.565326688903145</v>
      </c>
      <c r="E28">
        <f t="shared" si="0"/>
        <v>6.0899571529691396</v>
      </c>
      <c r="F28">
        <f t="shared" si="1"/>
        <v>-1.0666666666666667</v>
      </c>
      <c r="G28">
        <f t="shared" si="2"/>
        <v>-1.0666666666666667</v>
      </c>
      <c r="L28">
        <f t="shared" si="5"/>
        <v>-0.06</v>
      </c>
      <c r="M28">
        <f t="shared" si="3"/>
        <v>-0.52777777777777779</v>
      </c>
    </row>
    <row r="29" spans="1:14">
      <c r="A29">
        <v>5</v>
      </c>
      <c r="B29">
        <f>PI()/16*A29</f>
        <v>0.98174770424681035</v>
      </c>
      <c r="C29" s="3">
        <v>0.45833333333333298</v>
      </c>
      <c r="D29" s="2">
        <f t="shared" si="4"/>
        <v>21.005247613747706</v>
      </c>
      <c r="E29">
        <f t="shared" si="0"/>
        <v>7.1610320359556701</v>
      </c>
      <c r="F29">
        <f t="shared" si="1"/>
        <v>-1.0666666666666667</v>
      </c>
      <c r="G29">
        <f t="shared" si="2"/>
        <v>-1.0666666666666667</v>
      </c>
      <c r="L29">
        <f t="shared" si="5"/>
        <v>-0.06</v>
      </c>
      <c r="M29">
        <f t="shared" si="3"/>
        <v>-0.52777777777777779</v>
      </c>
    </row>
    <row r="30" spans="1:14">
      <c r="A30">
        <v>6</v>
      </c>
      <c r="B30">
        <f>PI()/16*A30</f>
        <v>1.1780972450961724</v>
      </c>
      <c r="C30" s="3">
        <v>0.5</v>
      </c>
      <c r="D30" s="2">
        <f t="shared" si="4"/>
        <v>26.241048976390051</v>
      </c>
      <c r="E30">
        <f t="shared" si="0"/>
        <v>7.956912473753456</v>
      </c>
      <c r="F30">
        <f t="shared" si="1"/>
        <v>-1.0666666666666667</v>
      </c>
      <c r="G30">
        <f t="shared" si="2"/>
        <v>-1.0666666666666667</v>
      </c>
      <c r="L30">
        <f t="shared" si="5"/>
        <v>-0.06</v>
      </c>
      <c r="M30">
        <f t="shared" si="3"/>
        <v>-0.52777777777777779</v>
      </c>
    </row>
    <row r="31" spans="1:14">
      <c r="A31">
        <v>7</v>
      </c>
      <c r="B31">
        <f>PI()/16*A31</f>
        <v>1.3744467859455345</v>
      </c>
      <c r="C31" s="3">
        <v>0.54166666666666696</v>
      </c>
      <c r="D31" s="2">
        <f t="shared" si="4"/>
        <v>31.966951092751763</v>
      </c>
      <c r="E31">
        <f t="shared" si="0"/>
        <v>8.4470132274728211</v>
      </c>
      <c r="F31">
        <f t="shared" si="1"/>
        <v>-1.0666666666666667</v>
      </c>
      <c r="G31">
        <f t="shared" si="2"/>
        <v>-1.0666666666666667</v>
      </c>
      <c r="L31">
        <f t="shared" si="5"/>
        <v>-0.06</v>
      </c>
      <c r="M31">
        <f t="shared" si="3"/>
        <v>-0.52777777777777779</v>
      </c>
    </row>
    <row r="32" spans="1:14">
      <c r="A32">
        <v>8</v>
      </c>
      <c r="B32">
        <f>PI()/16*A32</f>
        <v>1.5707963267948966</v>
      </c>
      <c r="C32" s="3">
        <v>0.58333333333333304</v>
      </c>
      <c r="D32" s="2">
        <f t="shared" si="4"/>
        <v>37.858339981640654</v>
      </c>
      <c r="E32">
        <f t="shared" si="0"/>
        <v>8.6124999999999989</v>
      </c>
      <c r="F32">
        <f t="shared" si="1"/>
        <v>-1.0666666666666667</v>
      </c>
      <c r="G32">
        <f t="shared" si="2"/>
        <v>-1.0666666666666667</v>
      </c>
      <c r="L32">
        <f t="shared" si="5"/>
        <v>-0.06</v>
      </c>
      <c r="M32">
        <f t="shared" si="3"/>
        <v>-0.52777777777777779</v>
      </c>
    </row>
    <row r="33" spans="1:14">
      <c r="A33">
        <v>9</v>
      </c>
      <c r="B33">
        <f>PI()/16*A33</f>
        <v>1.7671458676442586</v>
      </c>
      <c r="C33" s="3">
        <v>0.625</v>
      </c>
      <c r="D33" s="2">
        <f t="shared" si="4"/>
        <v>43.584242098002363</v>
      </c>
      <c r="E33">
        <f t="shared" si="0"/>
        <v>8.4470132274728211</v>
      </c>
      <c r="F33">
        <f t="shared" si="1"/>
        <v>-1.0666666666666667</v>
      </c>
      <c r="G33">
        <f t="shared" si="2"/>
        <v>-1.0666666666666667</v>
      </c>
      <c r="L33">
        <f t="shared" si="5"/>
        <v>-0.06</v>
      </c>
      <c r="M33">
        <f t="shared" si="3"/>
        <v>-0.52777777777777779</v>
      </c>
    </row>
    <row r="34" spans="1:14">
      <c r="A34">
        <v>10</v>
      </c>
      <c r="B34">
        <f>PI()/16*A34</f>
        <v>1.9634954084936207</v>
      </c>
      <c r="C34" s="3">
        <v>0.66666666666666696</v>
      </c>
      <c r="D34" s="2">
        <f t="shared" si="4"/>
        <v>48.820043460644712</v>
      </c>
      <c r="E34">
        <f t="shared" si="0"/>
        <v>7.956912473753456</v>
      </c>
      <c r="F34">
        <f t="shared" si="1"/>
        <v>-1.0666666666666667</v>
      </c>
      <c r="G34">
        <f t="shared" si="2"/>
        <v>-1.0666666666666667</v>
      </c>
      <c r="L34">
        <f t="shared" si="5"/>
        <v>-0.06</v>
      </c>
      <c r="M34">
        <f t="shared" si="3"/>
        <v>-0.52777777777777779</v>
      </c>
    </row>
    <row r="35" spans="1:14">
      <c r="A35">
        <v>11</v>
      </c>
      <c r="B35">
        <f>PI()/16*A35</f>
        <v>2.1598449493429825</v>
      </c>
      <c r="C35" s="3">
        <v>0.70833333333333304</v>
      </c>
      <c r="D35" s="2">
        <f t="shared" si="4"/>
        <v>53.259964385489276</v>
      </c>
      <c r="E35">
        <f t="shared" si="0"/>
        <v>7.1610320359556718</v>
      </c>
      <c r="F35">
        <f t="shared" si="1"/>
        <v>-1.0666666666666667</v>
      </c>
      <c r="G35">
        <f t="shared" si="2"/>
        <v>-1.0666666666666667</v>
      </c>
      <c r="L35">
        <f t="shared" si="5"/>
        <v>-0.06</v>
      </c>
      <c r="M35">
        <f t="shared" si="3"/>
        <v>-0.52777777777777779</v>
      </c>
    </row>
    <row r="36" spans="1:14">
      <c r="A36">
        <v>12</v>
      </c>
      <c r="B36">
        <f>PI()/16*A36</f>
        <v>2.3561944901923448</v>
      </c>
      <c r="C36" s="3">
        <v>0.75</v>
      </c>
      <c r="D36" s="2">
        <f t="shared" si="4"/>
        <v>56.628810427347304</v>
      </c>
      <c r="E36">
        <f t="shared" si="0"/>
        <v>6.0899571529691405</v>
      </c>
      <c r="F36">
        <f t="shared" si="1"/>
        <v>-1.0666666666666667</v>
      </c>
      <c r="G36">
        <f t="shared" si="2"/>
        <v>-1.0666666666666667</v>
      </c>
      <c r="L36">
        <f t="shared" si="5"/>
        <v>-0.06</v>
      </c>
      <c r="M36">
        <f t="shared" si="3"/>
        <v>-0.52777777777777779</v>
      </c>
    </row>
    <row r="37" spans="1:14">
      <c r="A37">
        <v>13</v>
      </c>
      <c r="B37">
        <f>PI()/16*A37</f>
        <v>2.5525440310417071</v>
      </c>
      <c r="C37" s="3">
        <v>0.79166666666666696</v>
      </c>
      <c r="D37" s="2">
        <f t="shared" si="4"/>
        <v>58.692547948117515</v>
      </c>
      <c r="E37">
        <f t="shared" si="0"/>
        <v>4.7848486318813226</v>
      </c>
      <c r="F37">
        <f t="shared" si="1"/>
        <v>-1.0666666666666667</v>
      </c>
      <c r="G37">
        <f t="shared" si="2"/>
        <v>-1.0666666666666667</v>
      </c>
      <c r="L37">
        <f t="shared" si="5"/>
        <v>-0.06</v>
      </c>
      <c r="M37">
        <f t="shared" si="3"/>
        <v>-0.52777777777777779</v>
      </c>
      <c r="N37">
        <f>-I$15</f>
        <v>-0.15</v>
      </c>
    </row>
    <row r="38" spans="1:14">
      <c r="A38">
        <v>14</v>
      </c>
      <c r="B38">
        <f>PI()/16*A38</f>
        <v>2.748893571891069</v>
      </c>
      <c r="C38" s="3">
        <v>0.83333333333333304</v>
      </c>
      <c r="D38" s="2">
        <f t="shared" si="4"/>
        <v>58.967297898250742</v>
      </c>
      <c r="E38">
        <f t="shared" si="0"/>
        <v>3.2958610612443366</v>
      </c>
      <c r="F38">
        <f t="shared" si="1"/>
        <v>-1.0666666666666667</v>
      </c>
      <c r="G38">
        <f t="shared" si="2"/>
        <v>-1.0666666666666667</v>
      </c>
      <c r="H38">
        <f>-I9</f>
        <v>-0.3</v>
      </c>
      <c r="L38">
        <f t="shared" si="5"/>
        <v>-0.06</v>
      </c>
      <c r="M38">
        <f t="shared" si="3"/>
        <v>-0.52777777777777779</v>
      </c>
      <c r="N38">
        <f>-I$15</f>
        <v>-0.15</v>
      </c>
    </row>
    <row r="39" spans="1:14">
      <c r="A39">
        <v>15</v>
      </c>
      <c r="B39">
        <f>PI()/16*A39</f>
        <v>2.9452431127404308</v>
      </c>
      <c r="C39" s="3">
        <v>0.875</v>
      </c>
      <c r="D39" s="2">
        <f t="shared" si="4"/>
        <v>55.426402185503541</v>
      </c>
      <c r="E39">
        <f t="shared" si="0"/>
        <v>1.6802153983639074</v>
      </c>
      <c r="F39">
        <f t="shared" si="1"/>
        <v>-1.0666666666666667</v>
      </c>
      <c r="G39">
        <f t="shared" si="2"/>
        <v>-1.0666666666666667</v>
      </c>
      <c r="I39">
        <f>-I10</f>
        <v>-2.5</v>
      </c>
      <c r="L39">
        <f t="shared" si="5"/>
        <v>-0.06</v>
      </c>
      <c r="M39">
        <f t="shared" si="3"/>
        <v>-0.52777777777777779</v>
      </c>
      <c r="N39">
        <f>-I$15</f>
        <v>-0.15</v>
      </c>
    </row>
    <row r="40" spans="1:14">
      <c r="A40">
        <v>16</v>
      </c>
      <c r="B40">
        <f>PI()/16*A40</f>
        <v>3.1415926535897931</v>
      </c>
      <c r="C40" s="3">
        <v>0.91666666666666696</v>
      </c>
      <c r="D40" s="2">
        <f t="shared" si="4"/>
        <v>52.205291074392434</v>
      </c>
      <c r="E40">
        <f t="shared" si="0"/>
        <v>1.0551591067900488E-15</v>
      </c>
      <c r="F40">
        <f t="shared" si="1"/>
        <v>-1.0666666666666667</v>
      </c>
      <c r="G40">
        <f t="shared" si="2"/>
        <v>-1.0666666666666667</v>
      </c>
      <c r="K40">
        <f>-I12</f>
        <v>-0.5</v>
      </c>
      <c r="L40">
        <f t="shared" si="5"/>
        <v>-0.06</v>
      </c>
      <c r="M40">
        <f t="shared" si="3"/>
        <v>-0.52777777777777779</v>
      </c>
      <c r="N40">
        <f>-I$15</f>
        <v>-0.15</v>
      </c>
    </row>
    <row r="41" spans="1:14">
      <c r="C41" s="3">
        <v>0.95833333333333304</v>
      </c>
      <c r="D41" s="2">
        <f t="shared" si="4"/>
        <v>49.544179963281323</v>
      </c>
      <c r="E41">
        <f t="shared" si="0"/>
        <v>0</v>
      </c>
      <c r="F41">
        <f t="shared" si="1"/>
        <v>-1.0666666666666667</v>
      </c>
      <c r="G41">
        <f t="shared" si="2"/>
        <v>-1.0666666666666667</v>
      </c>
      <c r="M41">
        <f t="shared" si="3"/>
        <v>-0.52777777777777779</v>
      </c>
    </row>
    <row r="42" spans="1:14">
      <c r="C42" s="3">
        <v>1</v>
      </c>
      <c r="D42" s="2">
        <f t="shared" si="4"/>
        <v>46.883068852170211</v>
      </c>
      <c r="E42">
        <f t="shared" si="0"/>
        <v>0</v>
      </c>
      <c r="F42">
        <f t="shared" si="1"/>
        <v>-1.0666666666666667</v>
      </c>
      <c r="G42">
        <f t="shared" si="2"/>
        <v>-1.0666666666666667</v>
      </c>
      <c r="M42">
        <f t="shared" si="3"/>
        <v>-0.52777777777777779</v>
      </c>
    </row>
    <row r="43" spans="1:14">
      <c r="C43" s="1"/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SUNY Geneseo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LABtop</dc:creator>
  <cp:lastModifiedBy>LABtop</cp:lastModifiedBy>
  <dcterms:created xsi:type="dcterms:W3CDTF">2017-04-29T02:22:49Z</dcterms:created>
  <dcterms:modified xsi:type="dcterms:W3CDTF">2017-04-29T09:19:17Z</dcterms:modified>
</cp:coreProperties>
</file>