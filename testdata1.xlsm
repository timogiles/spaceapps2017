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0" windowWidth="3960" windowHeight="1320" activeTab="1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E7" i="3"/>
  <c r="E6"/>
  <c r="E5"/>
  <c r="G5"/>
  <c r="G4"/>
  <c r="G3"/>
  <c r="F3"/>
  <c r="E18" i="2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N40"/>
  <c r="N39"/>
  <c r="N38"/>
  <c r="N37"/>
  <c r="N26"/>
  <c r="N25"/>
  <c r="N24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18"/>
  <c r="L27"/>
  <c r="L28"/>
  <c r="L29"/>
  <c r="L30"/>
  <c r="L31"/>
  <c r="L32"/>
  <c r="L33"/>
  <c r="L34"/>
  <c r="L35"/>
  <c r="L36"/>
  <c r="L37"/>
  <c r="L38"/>
  <c r="L39"/>
  <c r="L40"/>
  <c r="L26"/>
  <c r="K40"/>
  <c r="I39"/>
  <c r="H38"/>
  <c r="J25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G18"/>
  <c r="F18"/>
  <c r="B40"/>
  <c r="B39"/>
  <c r="B38"/>
  <c r="B37"/>
  <c r="B36"/>
  <c r="B35"/>
  <c r="B34"/>
  <c r="B33"/>
  <c r="B32"/>
  <c r="B31"/>
  <c r="B30"/>
  <c r="B29"/>
  <c r="B28"/>
  <c r="B27"/>
  <c r="B26"/>
  <c r="B25"/>
  <c r="I14"/>
  <c r="I8"/>
  <c r="I7"/>
  <c r="E13"/>
  <c r="G13" s="1"/>
  <c r="K13"/>
  <c r="I12"/>
  <c r="I11"/>
  <c r="I10"/>
  <c r="I9"/>
  <c r="L7"/>
</calcChain>
</file>

<file path=xl/sharedStrings.xml><?xml version="1.0" encoding="utf-8"?>
<sst xmlns="http://schemas.openxmlformats.org/spreadsheetml/2006/main" count="45" uniqueCount="35">
  <si>
    <t>Datasets</t>
  </si>
  <si>
    <t>Location</t>
  </si>
  <si>
    <t>FL</t>
  </si>
  <si>
    <t>Tampa</t>
  </si>
  <si>
    <t>city</t>
  </si>
  <si>
    <t>state</t>
  </si>
  <si>
    <t>zip</t>
  </si>
  <si>
    <t>lat</t>
  </si>
  <si>
    <t>long</t>
  </si>
  <si>
    <t>Sunrise</t>
  </si>
  <si>
    <t>Sunset</t>
  </si>
  <si>
    <t>Devices</t>
  </si>
  <si>
    <t>Starting Battery Power</t>
  </si>
  <si>
    <t>Refridgerator (food)</t>
  </si>
  <si>
    <t>Refridgerator (lab)</t>
  </si>
  <si>
    <t>Washer</t>
  </si>
  <si>
    <t>Dryer</t>
  </si>
  <si>
    <t>Coffee Maker</t>
  </si>
  <si>
    <t>Dishwasher</t>
  </si>
  <si>
    <t>Laptop</t>
  </si>
  <si>
    <t>Hotwater Heater</t>
  </si>
  <si>
    <t>kWh</t>
  </si>
  <si>
    <t>On Duration</t>
  </si>
  <si>
    <t>Hours/Month</t>
  </si>
  <si>
    <t>kWh/Month</t>
  </si>
  <si>
    <t>Months Used</t>
  </si>
  <si>
    <t>kWh/Yr</t>
  </si>
  <si>
    <t>$/Yr</t>
  </si>
  <si>
    <t>Solar Output</t>
  </si>
  <si>
    <t>Solar Panel Wattage</t>
  </si>
  <si>
    <t>Number Of Panels</t>
  </si>
  <si>
    <t>Wh</t>
  </si>
  <si>
    <t>Cloud Cover</t>
  </si>
  <si>
    <t>Lighting</t>
  </si>
  <si>
    <t xml:space="preserve"> 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</si>
</sst>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0" fontId="0" fillId="0" borderId="0" xfId="0" applyNumberFormat="1"/>
    <xf numFmtId="0" fontId="0" fillId="0" borderId="0" xfId="0" applyNumberFormat="1"/>
    <xf numFmtId="20" fontId="1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6083746580019349E-2"/>
          <c:y val="2.8522856598416409E-2"/>
          <c:w val="0.93082393863687374"/>
          <c:h val="0.8346583799166335"/>
        </c:manualLayout>
      </c:layout>
      <c:scatterChart>
        <c:scatterStyle val="lineMarker"/>
        <c:ser>
          <c:idx val="0"/>
          <c:order val="0"/>
          <c:marker>
            <c:symbol val="none"/>
          </c:marker>
          <c:xVal>
            <c:numRef>
              <c:f>Sheet2!$C$18:$C$42</c:f>
              <c:numCache>
                <c:formatCode>h:mm</c:formatCode>
                <c:ptCount val="25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  <c:pt idx="24">
                  <c:v>1</c:v>
                </c:pt>
              </c:numCache>
            </c:numRef>
          </c:xVal>
          <c:yVal>
            <c:numRef>
              <c:f>Sheet2!$D$18:$D$42</c:f>
              <c:numCache>
                <c:formatCode>General</c:formatCode>
                <c:ptCount val="25"/>
                <c:pt idx="0">
                  <c:v>27.338888888888889</c:v>
                </c:pt>
                <c:pt idx="1">
                  <c:v>24.677777777777777</c:v>
                </c:pt>
                <c:pt idx="2">
                  <c:v>22.016666666666666</c:v>
                </c:pt>
                <c:pt idx="3">
                  <c:v>19.355555555555554</c:v>
                </c:pt>
                <c:pt idx="4">
                  <c:v>16.694444444444443</c:v>
                </c:pt>
                <c:pt idx="5">
                  <c:v>14.033333333333331</c:v>
                </c:pt>
                <c:pt idx="6">
                  <c:v>11.37222222222222</c:v>
                </c:pt>
                <c:pt idx="7">
                  <c:v>10.221950096468898</c:v>
                </c:pt>
                <c:pt idx="8">
                  <c:v>10.137527834353255</c:v>
                </c:pt>
                <c:pt idx="9">
                  <c:v>11.244295628747203</c:v>
                </c:pt>
                <c:pt idx="10">
                  <c:v>13.395150240011406</c:v>
                </c:pt>
                <c:pt idx="11">
                  <c:v>16.402864757664833</c:v>
                </c:pt>
                <c:pt idx="12">
                  <c:v>20.047283625556489</c:v>
                </c:pt>
                <c:pt idx="13">
                  <c:v>24.083783096423637</c:v>
                </c:pt>
                <c:pt idx="14">
                  <c:v>28.252671985312528</c:v>
                </c:pt>
                <c:pt idx="15">
                  <c:v>32.289171456179673</c:v>
                </c:pt>
                <c:pt idx="16">
                  <c:v>35.933590324071332</c:v>
                </c:pt>
                <c:pt idx="17">
                  <c:v>38.941304841724758</c:v>
                </c:pt>
                <c:pt idx="18">
                  <c:v>41.092159452988959</c:v>
                </c:pt>
                <c:pt idx="19">
                  <c:v>42.198927247382905</c:v>
                </c:pt>
                <c:pt idx="20">
                  <c:v>41.814504985267263</c:v>
                </c:pt>
                <c:pt idx="21">
                  <c:v>37.937566192847278</c:v>
                </c:pt>
                <c:pt idx="22">
                  <c:v>34.716455081736171</c:v>
                </c:pt>
                <c:pt idx="23">
                  <c:v>32.05534397062506</c:v>
                </c:pt>
                <c:pt idx="24">
                  <c:v>29.394232859513949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Sheet2!$C$18:$C$42</c:f>
              <c:numCache>
                <c:formatCode>h:mm</c:formatCode>
                <c:ptCount val="25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  <c:pt idx="24">
                  <c:v>1</c:v>
                </c:pt>
              </c:numCache>
            </c:numRef>
          </c:xVal>
          <c:yVal>
            <c:numRef>
              <c:f>Sheet2!$E$18:$E$42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1.3441723186911236</c:v>
                </c:pt>
                <c:pt idx="8">
                  <c:v>2.636688848995469</c:v>
                </c:pt>
                <c:pt idx="9">
                  <c:v>3.8278789055050595</c:v>
                </c:pt>
                <c:pt idx="10">
                  <c:v>4.8719657223753128</c:v>
                </c:pt>
                <c:pt idx="11">
                  <c:v>5.7288256287645369</c:v>
                </c:pt>
                <c:pt idx="12">
                  <c:v>6.3655299790027664</c:v>
                </c:pt>
                <c:pt idx="13">
                  <c:v>6.7576105819782581</c:v>
                </c:pt>
                <c:pt idx="14">
                  <c:v>6.8900000000000006</c:v>
                </c:pt>
                <c:pt idx="15">
                  <c:v>6.7576105819782581</c:v>
                </c:pt>
                <c:pt idx="16">
                  <c:v>6.3655299790027664</c:v>
                </c:pt>
                <c:pt idx="17">
                  <c:v>5.7288256287645387</c:v>
                </c:pt>
                <c:pt idx="18">
                  <c:v>4.8719657223753128</c:v>
                </c:pt>
                <c:pt idx="19">
                  <c:v>3.8278789055050595</c:v>
                </c:pt>
                <c:pt idx="20">
                  <c:v>2.6366888489954694</c:v>
                </c:pt>
                <c:pt idx="21">
                  <c:v>1.3441723186911263</c:v>
                </c:pt>
                <c:pt idx="22">
                  <c:v>8.4412728543203927E-16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</c:ser>
        <c:axId val="92314624"/>
        <c:axId val="92325376"/>
      </c:scatterChart>
      <c:valAx>
        <c:axId val="92314624"/>
        <c:scaling>
          <c:orientation val="minMax"/>
          <c:max val="1"/>
          <c:min val="0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</a:t>
                </a:r>
                <a:r>
                  <a:rPr lang="en-US" baseline="0"/>
                  <a:t>e of Day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8840191475806582"/>
              <c:y val="0.9506614174566308"/>
            </c:manualLayout>
          </c:layout>
        </c:title>
        <c:numFmt formatCode="h:mm" sourceLinked="1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92325376"/>
        <c:crosses val="autoZero"/>
        <c:crossBetween val="midCat"/>
        <c:majorUnit val="4.1666666000000012E-2"/>
        <c:minorUnit val="1.3888888000000005E-2"/>
      </c:valAx>
      <c:valAx>
        <c:axId val="92325376"/>
        <c:scaling>
          <c:orientation val="minMax"/>
          <c:max val="50"/>
          <c:min val="-10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 of</a:t>
                </a:r>
                <a:r>
                  <a:rPr lang="en-US" baseline="0"/>
                  <a:t> Stored Energy</a:t>
                </a:r>
                <a:endParaRPr lang="en-US"/>
              </a:p>
            </c:rich>
          </c:tx>
          <c:layout/>
        </c:title>
        <c:numFmt formatCode="General" sourceLinked="1"/>
        <c:tickLblPos val="nextTo"/>
        <c:crossAx val="92314624"/>
        <c:crosses val="autoZero"/>
        <c:crossBetween val="midCat"/>
        <c:majorUnit val="20"/>
        <c:minorUnit val="10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247650</xdr:colOff>
      <xdr:row>4</xdr:row>
      <xdr:rowOff>16669</xdr:rowOff>
    </xdr:from>
    <xdr:to>
      <xdr:col>31</xdr:col>
      <xdr:colOff>595313</xdr:colOff>
      <xdr:row>30</xdr:row>
      <xdr:rowOff>7143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9"/>
  <sheetViews>
    <sheetView workbookViewId="0">
      <selection activeCell="B9" sqref="B9"/>
    </sheetView>
  </sheetViews>
  <sheetFormatPr defaultRowHeight="15"/>
  <sheetData>
    <row r="1" spans="1:6">
      <c r="A1" t="s">
        <v>0</v>
      </c>
    </row>
    <row r="2" spans="1:6">
      <c r="B2" t="s">
        <v>4</v>
      </c>
      <c r="C2" t="s">
        <v>5</v>
      </c>
      <c r="D2" t="s">
        <v>6</v>
      </c>
      <c r="E2" t="s">
        <v>7</v>
      </c>
      <c r="F2" t="s">
        <v>8</v>
      </c>
    </row>
    <row r="3" spans="1:6">
      <c r="A3" t="s">
        <v>1</v>
      </c>
      <c r="B3" t="s">
        <v>3</v>
      </c>
      <c r="C3" t="s">
        <v>2</v>
      </c>
      <c r="D3">
        <v>33602</v>
      </c>
      <c r="E3">
        <v>27.962133300000001</v>
      </c>
      <c r="F3">
        <v>-82.444843899999995</v>
      </c>
    </row>
    <row r="5" spans="1:6">
      <c r="A5" t="s">
        <v>9</v>
      </c>
      <c r="B5" s="1">
        <v>0.28611111111111115</v>
      </c>
    </row>
    <row r="6" spans="1:6">
      <c r="A6" t="s">
        <v>10</v>
      </c>
      <c r="B6" s="1">
        <v>0.83472222222222225</v>
      </c>
    </row>
    <row r="9" spans="1:6">
      <c r="A9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Z49"/>
  <sheetViews>
    <sheetView tabSelected="1" zoomScale="80" zoomScaleNormal="80" workbookViewId="0">
      <selection activeCell="N34" sqref="N34"/>
    </sheetView>
  </sheetViews>
  <sheetFormatPr defaultRowHeight="15"/>
  <cols>
    <col min="3" max="3" width="21.140625" bestFit="1" customWidth="1"/>
    <col min="4" max="4" width="9.140625" style="2"/>
  </cols>
  <sheetData>
    <row r="1" spans="3:12">
      <c r="C1" t="s">
        <v>12</v>
      </c>
      <c r="D1">
        <v>30</v>
      </c>
      <c r="E1" t="s">
        <v>21</v>
      </c>
    </row>
    <row r="2" spans="3:12">
      <c r="C2" t="s">
        <v>29</v>
      </c>
      <c r="D2">
        <v>265</v>
      </c>
      <c r="E2" t="s">
        <v>31</v>
      </c>
    </row>
    <row r="3" spans="3:12">
      <c r="C3" t="s">
        <v>30</v>
      </c>
      <c r="D3">
        <v>26</v>
      </c>
    </row>
    <row r="4" spans="3:12">
      <c r="C4" t="s">
        <v>32</v>
      </c>
      <c r="D4">
        <v>0</v>
      </c>
      <c r="E4">
        <v>100</v>
      </c>
    </row>
    <row r="5" spans="3:12">
      <c r="D5"/>
    </row>
    <row r="6" spans="3:12">
      <c r="D6" t="s">
        <v>23</v>
      </c>
      <c r="E6" t="s">
        <v>24</v>
      </c>
      <c r="F6" t="s">
        <v>25</v>
      </c>
      <c r="G6" t="s">
        <v>26</v>
      </c>
      <c r="H6" t="s">
        <v>27</v>
      </c>
      <c r="I6" t="s">
        <v>21</v>
      </c>
      <c r="J6" t="s">
        <v>22</v>
      </c>
    </row>
    <row r="7" spans="3:12">
      <c r="C7" t="s">
        <v>13</v>
      </c>
      <c r="D7">
        <v>720</v>
      </c>
      <c r="E7">
        <v>32</v>
      </c>
      <c r="F7">
        <v>12</v>
      </c>
      <c r="G7">
        <v>381</v>
      </c>
      <c r="H7">
        <v>61</v>
      </c>
      <c r="I7">
        <f t="shared" ref="I7:I12" si="0">E7/30</f>
        <v>1.0666666666666667</v>
      </c>
      <c r="J7">
        <v>24</v>
      </c>
      <c r="L7">
        <f>24*30</f>
        <v>720</v>
      </c>
    </row>
    <row r="8" spans="3:12">
      <c r="C8" t="s">
        <v>14</v>
      </c>
      <c r="D8">
        <v>720</v>
      </c>
      <c r="E8">
        <v>32</v>
      </c>
      <c r="F8">
        <v>12</v>
      </c>
      <c r="G8">
        <v>381</v>
      </c>
      <c r="H8">
        <v>61</v>
      </c>
      <c r="I8">
        <f t="shared" si="0"/>
        <v>1.0666666666666667</v>
      </c>
      <c r="J8">
        <v>24</v>
      </c>
    </row>
    <row r="9" spans="3:12">
      <c r="C9" t="s">
        <v>15</v>
      </c>
      <c r="D9">
        <v>7</v>
      </c>
      <c r="E9">
        <v>9</v>
      </c>
      <c r="F9">
        <v>12</v>
      </c>
      <c r="G9">
        <v>108</v>
      </c>
      <c r="H9">
        <v>17</v>
      </c>
      <c r="I9">
        <f t="shared" si="0"/>
        <v>0.3</v>
      </c>
      <c r="J9">
        <v>1</v>
      </c>
    </row>
    <row r="10" spans="3:12">
      <c r="C10" t="s">
        <v>16</v>
      </c>
      <c r="D10">
        <v>6</v>
      </c>
      <c r="E10">
        <v>75</v>
      </c>
      <c r="F10">
        <v>12</v>
      </c>
      <c r="G10">
        <v>901</v>
      </c>
      <c r="H10">
        <v>149</v>
      </c>
      <c r="I10">
        <f t="shared" si="0"/>
        <v>2.5</v>
      </c>
      <c r="J10">
        <v>1</v>
      </c>
    </row>
    <row r="11" spans="3:12">
      <c r="C11" t="s">
        <v>17</v>
      </c>
      <c r="D11">
        <v>30</v>
      </c>
      <c r="E11">
        <v>5</v>
      </c>
      <c r="F11">
        <v>12</v>
      </c>
      <c r="G11">
        <v>60</v>
      </c>
      <c r="H11">
        <v>10</v>
      </c>
      <c r="I11">
        <f t="shared" si="0"/>
        <v>0.16666666666666666</v>
      </c>
      <c r="J11">
        <v>1</v>
      </c>
    </row>
    <row r="12" spans="3:12">
      <c r="C12" t="s">
        <v>18</v>
      </c>
      <c r="D12">
        <v>30</v>
      </c>
      <c r="E12">
        <v>15</v>
      </c>
      <c r="F12">
        <v>12</v>
      </c>
      <c r="G12">
        <v>180</v>
      </c>
      <c r="H12">
        <v>47</v>
      </c>
      <c r="I12">
        <f t="shared" si="0"/>
        <v>0.5</v>
      </c>
      <c r="J12">
        <v>1</v>
      </c>
    </row>
    <row r="13" spans="3:12">
      <c r="C13" t="s">
        <v>19</v>
      </c>
      <c r="D13">
        <v>450</v>
      </c>
      <c r="E13">
        <f>D13*0.06</f>
        <v>27</v>
      </c>
      <c r="F13">
        <v>12</v>
      </c>
      <c r="G13">
        <f>E13*12</f>
        <v>324</v>
      </c>
      <c r="I13">
        <v>0.06</v>
      </c>
      <c r="J13">
        <v>15</v>
      </c>
      <c r="K13">
        <f>J13*30</f>
        <v>450</v>
      </c>
    </row>
    <row r="14" spans="3:12">
      <c r="C14" t="s">
        <v>20</v>
      </c>
      <c r="D14"/>
      <c r="E14">
        <v>380</v>
      </c>
      <c r="F14">
        <v>12</v>
      </c>
      <c r="G14">
        <v>4559</v>
      </c>
      <c r="H14">
        <v>729</v>
      </c>
      <c r="I14">
        <f>E14/30/24</f>
        <v>0.52777777777777779</v>
      </c>
      <c r="J14">
        <v>24</v>
      </c>
    </row>
    <row r="15" spans="3:12">
      <c r="C15" t="s">
        <v>33</v>
      </c>
      <c r="D15"/>
      <c r="I15">
        <v>0.15</v>
      </c>
      <c r="J15">
        <v>7</v>
      </c>
    </row>
    <row r="16" spans="3:12">
      <c r="D16"/>
    </row>
    <row r="17" spans="1:14">
      <c r="D17"/>
      <c r="E17" t="s">
        <v>28</v>
      </c>
      <c r="F17" t="s">
        <v>13</v>
      </c>
      <c r="G17" t="s">
        <v>14</v>
      </c>
      <c r="H17" t="s">
        <v>15</v>
      </c>
      <c r="I17" t="s">
        <v>16</v>
      </c>
      <c r="J17" t="s">
        <v>17</v>
      </c>
      <c r="K17" t="s">
        <v>18</v>
      </c>
      <c r="L17" t="s">
        <v>19</v>
      </c>
      <c r="M17" t="s">
        <v>20</v>
      </c>
      <c r="N17" t="s">
        <v>33</v>
      </c>
    </row>
    <row r="18" spans="1:14">
      <c r="C18" s="3">
        <v>0</v>
      </c>
      <c r="D18" s="2">
        <f>D1+SUM(E18:M18)</f>
        <v>27.338888888888889</v>
      </c>
      <c r="E18">
        <f>$D$2/1000*$D$3*SIN(B18)*(1-(0.9*D$4/100))</f>
        <v>0</v>
      </c>
      <c r="F18">
        <f>-I$7</f>
        <v>-1.0666666666666667</v>
      </c>
      <c r="G18">
        <f>-I$8</f>
        <v>-1.0666666666666667</v>
      </c>
      <c r="M18">
        <f>-I$14</f>
        <v>-0.52777777777777779</v>
      </c>
    </row>
    <row r="19" spans="1:14">
      <c r="C19" s="3">
        <v>4.1666666666666664E-2</v>
      </c>
      <c r="D19" s="2">
        <f>D18+SUM(E19:M19)</f>
        <v>24.677777777777777</v>
      </c>
      <c r="E19">
        <f t="shared" ref="E19:E42" si="1">$D$2/1000*$D$3*SIN(B19)*(1-(0.9*D$4/100))</f>
        <v>0</v>
      </c>
      <c r="F19">
        <f t="shared" ref="F19:F42" si="2">-I$7</f>
        <v>-1.0666666666666667</v>
      </c>
      <c r="G19">
        <f t="shared" ref="G19:G42" si="3">-I$8</f>
        <v>-1.0666666666666667</v>
      </c>
      <c r="M19">
        <f t="shared" ref="M19:M42" si="4">-I$14</f>
        <v>-0.52777777777777779</v>
      </c>
    </row>
    <row r="20" spans="1:14">
      <c r="C20" s="3">
        <v>8.3333333333333301E-2</v>
      </c>
      <c r="D20" s="2">
        <f t="shared" ref="D20:D42" si="5">D19+SUM(E20:M20)</f>
        <v>22.016666666666666</v>
      </c>
      <c r="E20">
        <f t="shared" si="1"/>
        <v>0</v>
      </c>
      <c r="F20">
        <f t="shared" si="2"/>
        <v>-1.0666666666666667</v>
      </c>
      <c r="G20">
        <f t="shared" si="3"/>
        <v>-1.0666666666666667</v>
      </c>
      <c r="M20">
        <f t="shared" si="4"/>
        <v>-0.52777777777777779</v>
      </c>
    </row>
    <row r="21" spans="1:14">
      <c r="C21" s="3">
        <v>0.125</v>
      </c>
      <c r="D21" s="2">
        <f t="shared" si="5"/>
        <v>19.355555555555554</v>
      </c>
      <c r="E21">
        <f t="shared" si="1"/>
        <v>0</v>
      </c>
      <c r="F21">
        <f t="shared" si="2"/>
        <v>-1.0666666666666667</v>
      </c>
      <c r="G21">
        <f t="shared" si="3"/>
        <v>-1.0666666666666667</v>
      </c>
      <c r="M21">
        <f t="shared" si="4"/>
        <v>-0.52777777777777779</v>
      </c>
    </row>
    <row r="22" spans="1:14">
      <c r="C22" s="3">
        <v>0.16666666666666699</v>
      </c>
      <c r="D22" s="2">
        <f t="shared" si="5"/>
        <v>16.694444444444443</v>
      </c>
      <c r="E22">
        <f t="shared" si="1"/>
        <v>0</v>
      </c>
      <c r="F22">
        <f t="shared" si="2"/>
        <v>-1.0666666666666667</v>
      </c>
      <c r="G22">
        <f t="shared" si="3"/>
        <v>-1.0666666666666667</v>
      </c>
      <c r="M22">
        <f t="shared" si="4"/>
        <v>-0.52777777777777779</v>
      </c>
    </row>
    <row r="23" spans="1:14">
      <c r="C23" s="3">
        <v>0.20833333333333301</v>
      </c>
      <c r="D23" s="2">
        <f t="shared" si="5"/>
        <v>14.033333333333331</v>
      </c>
      <c r="E23">
        <f t="shared" si="1"/>
        <v>0</v>
      </c>
      <c r="F23">
        <f t="shared" si="2"/>
        <v>-1.0666666666666667</v>
      </c>
      <c r="G23">
        <f t="shared" si="3"/>
        <v>-1.0666666666666667</v>
      </c>
      <c r="M23">
        <f t="shared" si="4"/>
        <v>-0.52777777777777779</v>
      </c>
    </row>
    <row r="24" spans="1:14">
      <c r="C24" s="3">
        <v>0.25</v>
      </c>
      <c r="D24" s="2">
        <f t="shared" si="5"/>
        <v>11.37222222222222</v>
      </c>
      <c r="E24">
        <f t="shared" si="1"/>
        <v>0</v>
      </c>
      <c r="F24">
        <f t="shared" si="2"/>
        <v>-1.0666666666666667</v>
      </c>
      <c r="G24">
        <f t="shared" si="3"/>
        <v>-1.0666666666666667</v>
      </c>
      <c r="M24">
        <f t="shared" si="4"/>
        <v>-0.52777777777777779</v>
      </c>
      <c r="N24">
        <f>-I$15</f>
        <v>-0.15</v>
      </c>
    </row>
    <row r="25" spans="1:14">
      <c r="A25">
        <v>1</v>
      </c>
      <c r="B25">
        <f t="shared" ref="B25:B40" si="6">PI()/16*A25</f>
        <v>0.19634954084936207</v>
      </c>
      <c r="C25" s="3">
        <v>0.29166666666666702</v>
      </c>
      <c r="D25" s="2">
        <f t="shared" si="5"/>
        <v>10.221950096468898</v>
      </c>
      <c r="E25">
        <f t="shared" si="1"/>
        <v>1.3441723186911236</v>
      </c>
      <c r="F25">
        <f t="shared" si="2"/>
        <v>-1.0666666666666667</v>
      </c>
      <c r="G25">
        <f t="shared" si="3"/>
        <v>-1.0666666666666667</v>
      </c>
      <c r="J25">
        <f>I11</f>
        <v>0.16666666666666666</v>
      </c>
      <c r="M25">
        <f t="shared" si="4"/>
        <v>-0.52777777777777779</v>
      </c>
      <c r="N25">
        <f>-I$15</f>
        <v>-0.15</v>
      </c>
    </row>
    <row r="26" spans="1:14">
      <c r="A26">
        <v>2</v>
      </c>
      <c r="B26">
        <f t="shared" si="6"/>
        <v>0.39269908169872414</v>
      </c>
      <c r="C26" s="3">
        <v>0.33333333333333298</v>
      </c>
      <c r="D26" s="2">
        <f t="shared" si="5"/>
        <v>10.137527834353255</v>
      </c>
      <c r="E26">
        <f t="shared" si="1"/>
        <v>2.636688848995469</v>
      </c>
      <c r="F26">
        <f t="shared" si="2"/>
        <v>-1.0666666666666667</v>
      </c>
      <c r="G26">
        <f t="shared" si="3"/>
        <v>-1.0666666666666667</v>
      </c>
      <c r="L26">
        <f>-I$13</f>
        <v>-0.06</v>
      </c>
      <c r="M26">
        <f t="shared" si="4"/>
        <v>-0.52777777777777779</v>
      </c>
      <c r="N26">
        <f>-I$15</f>
        <v>-0.15</v>
      </c>
    </row>
    <row r="27" spans="1:14">
      <c r="A27">
        <v>3</v>
      </c>
      <c r="B27">
        <f t="shared" si="6"/>
        <v>0.58904862254808621</v>
      </c>
      <c r="C27" s="3">
        <v>0.375</v>
      </c>
      <c r="D27" s="2">
        <f t="shared" si="5"/>
        <v>11.244295628747203</v>
      </c>
      <c r="E27">
        <f t="shared" si="1"/>
        <v>3.8278789055050595</v>
      </c>
      <c r="F27">
        <f t="shared" si="2"/>
        <v>-1.0666666666666667</v>
      </c>
      <c r="G27">
        <f t="shared" si="3"/>
        <v>-1.0666666666666667</v>
      </c>
      <c r="L27">
        <f t="shared" ref="L27:L40" si="7">-I$13</f>
        <v>-0.06</v>
      </c>
      <c r="M27">
        <f t="shared" si="4"/>
        <v>-0.52777777777777779</v>
      </c>
    </row>
    <row r="28" spans="1:14">
      <c r="A28">
        <v>4</v>
      </c>
      <c r="B28">
        <f t="shared" si="6"/>
        <v>0.78539816339744828</v>
      </c>
      <c r="C28" s="3">
        <v>0.41666666666666702</v>
      </c>
      <c r="D28" s="2">
        <f t="shared" si="5"/>
        <v>13.395150240011406</v>
      </c>
      <c r="E28">
        <f t="shared" si="1"/>
        <v>4.8719657223753128</v>
      </c>
      <c r="F28">
        <f t="shared" si="2"/>
        <v>-1.0666666666666667</v>
      </c>
      <c r="G28">
        <f t="shared" si="3"/>
        <v>-1.0666666666666667</v>
      </c>
      <c r="L28">
        <f t="shared" si="7"/>
        <v>-0.06</v>
      </c>
      <c r="M28">
        <f t="shared" si="4"/>
        <v>-0.52777777777777779</v>
      </c>
    </row>
    <row r="29" spans="1:14">
      <c r="A29">
        <v>5</v>
      </c>
      <c r="B29">
        <f t="shared" si="6"/>
        <v>0.98174770424681035</v>
      </c>
      <c r="C29" s="3">
        <v>0.45833333333333298</v>
      </c>
      <c r="D29" s="2">
        <f t="shared" si="5"/>
        <v>16.402864757664833</v>
      </c>
      <c r="E29">
        <f t="shared" si="1"/>
        <v>5.7288256287645369</v>
      </c>
      <c r="F29">
        <f t="shared" si="2"/>
        <v>-1.0666666666666667</v>
      </c>
      <c r="G29">
        <f t="shared" si="3"/>
        <v>-1.0666666666666667</v>
      </c>
      <c r="L29">
        <f t="shared" si="7"/>
        <v>-0.06</v>
      </c>
      <c r="M29">
        <f t="shared" si="4"/>
        <v>-0.52777777777777779</v>
      </c>
    </row>
    <row r="30" spans="1:14">
      <c r="A30">
        <v>6</v>
      </c>
      <c r="B30">
        <f t="shared" si="6"/>
        <v>1.1780972450961724</v>
      </c>
      <c r="C30" s="3">
        <v>0.5</v>
      </c>
      <c r="D30" s="2">
        <f t="shared" si="5"/>
        <v>20.047283625556489</v>
      </c>
      <c r="E30">
        <f t="shared" si="1"/>
        <v>6.3655299790027664</v>
      </c>
      <c r="F30">
        <f t="shared" si="2"/>
        <v>-1.0666666666666667</v>
      </c>
      <c r="G30">
        <f t="shared" si="3"/>
        <v>-1.0666666666666667</v>
      </c>
      <c r="L30">
        <f t="shared" si="7"/>
        <v>-0.06</v>
      </c>
      <c r="M30">
        <f t="shared" si="4"/>
        <v>-0.52777777777777779</v>
      </c>
    </row>
    <row r="31" spans="1:14">
      <c r="A31">
        <v>7</v>
      </c>
      <c r="B31">
        <f t="shared" si="6"/>
        <v>1.3744467859455345</v>
      </c>
      <c r="C31" s="3">
        <v>0.54166666666666696</v>
      </c>
      <c r="D31" s="2">
        <f t="shared" si="5"/>
        <v>24.083783096423637</v>
      </c>
      <c r="E31">
        <f t="shared" si="1"/>
        <v>6.7576105819782581</v>
      </c>
      <c r="F31">
        <f t="shared" si="2"/>
        <v>-1.0666666666666667</v>
      </c>
      <c r="G31">
        <f t="shared" si="3"/>
        <v>-1.0666666666666667</v>
      </c>
      <c r="L31">
        <f t="shared" si="7"/>
        <v>-0.06</v>
      </c>
      <c r="M31">
        <f t="shared" si="4"/>
        <v>-0.52777777777777779</v>
      </c>
    </row>
    <row r="32" spans="1:14">
      <c r="A32">
        <v>8</v>
      </c>
      <c r="B32">
        <f t="shared" si="6"/>
        <v>1.5707963267948966</v>
      </c>
      <c r="C32" s="3">
        <v>0.58333333333333304</v>
      </c>
      <c r="D32" s="2">
        <f t="shared" si="5"/>
        <v>28.252671985312528</v>
      </c>
      <c r="E32">
        <f t="shared" si="1"/>
        <v>6.8900000000000006</v>
      </c>
      <c r="F32">
        <f t="shared" si="2"/>
        <v>-1.0666666666666667</v>
      </c>
      <c r="G32">
        <f t="shared" si="3"/>
        <v>-1.0666666666666667</v>
      </c>
      <c r="L32">
        <f t="shared" si="7"/>
        <v>-0.06</v>
      </c>
      <c r="M32">
        <f t="shared" si="4"/>
        <v>-0.52777777777777779</v>
      </c>
    </row>
    <row r="33" spans="1:14">
      <c r="A33">
        <v>9</v>
      </c>
      <c r="B33">
        <f t="shared" si="6"/>
        <v>1.7671458676442586</v>
      </c>
      <c r="C33" s="3">
        <v>0.625</v>
      </c>
      <c r="D33" s="2">
        <f t="shared" si="5"/>
        <v>32.289171456179673</v>
      </c>
      <c r="E33">
        <f t="shared" si="1"/>
        <v>6.7576105819782581</v>
      </c>
      <c r="F33">
        <f t="shared" si="2"/>
        <v>-1.0666666666666667</v>
      </c>
      <c r="G33">
        <f t="shared" si="3"/>
        <v>-1.0666666666666667</v>
      </c>
      <c r="L33">
        <f t="shared" si="7"/>
        <v>-0.06</v>
      </c>
      <c r="M33">
        <f t="shared" si="4"/>
        <v>-0.52777777777777779</v>
      </c>
    </row>
    <row r="34" spans="1:14">
      <c r="A34">
        <v>10</v>
      </c>
      <c r="B34">
        <f t="shared" si="6"/>
        <v>1.9634954084936207</v>
      </c>
      <c r="C34" s="3">
        <v>0.66666666666666696</v>
      </c>
      <c r="D34" s="2">
        <f t="shared" si="5"/>
        <v>35.933590324071332</v>
      </c>
      <c r="E34">
        <f t="shared" si="1"/>
        <v>6.3655299790027664</v>
      </c>
      <c r="F34">
        <f t="shared" si="2"/>
        <v>-1.0666666666666667</v>
      </c>
      <c r="G34">
        <f t="shared" si="3"/>
        <v>-1.0666666666666667</v>
      </c>
      <c r="L34">
        <f t="shared" si="7"/>
        <v>-0.06</v>
      </c>
      <c r="M34">
        <f t="shared" si="4"/>
        <v>-0.52777777777777779</v>
      </c>
      <c r="N34">
        <v>0</v>
      </c>
    </row>
    <row r="35" spans="1:14">
      <c r="A35">
        <v>11</v>
      </c>
      <c r="B35">
        <f t="shared" si="6"/>
        <v>2.1598449493429825</v>
      </c>
      <c r="C35" s="3">
        <v>0.70833333333333304</v>
      </c>
      <c r="D35" s="2">
        <f t="shared" si="5"/>
        <v>38.941304841724758</v>
      </c>
      <c r="E35">
        <f t="shared" si="1"/>
        <v>5.7288256287645387</v>
      </c>
      <c r="F35">
        <f t="shared" si="2"/>
        <v>-1.0666666666666667</v>
      </c>
      <c r="G35">
        <f t="shared" si="3"/>
        <v>-1.0666666666666667</v>
      </c>
      <c r="L35">
        <f t="shared" si="7"/>
        <v>-0.06</v>
      </c>
      <c r="M35">
        <f t="shared" si="4"/>
        <v>-0.52777777777777779</v>
      </c>
    </row>
    <row r="36" spans="1:14">
      <c r="A36">
        <v>12</v>
      </c>
      <c r="B36">
        <f t="shared" si="6"/>
        <v>2.3561944901923448</v>
      </c>
      <c r="C36" s="3">
        <v>0.75</v>
      </c>
      <c r="D36" s="2">
        <f t="shared" si="5"/>
        <v>41.092159452988959</v>
      </c>
      <c r="E36">
        <f t="shared" si="1"/>
        <v>4.8719657223753128</v>
      </c>
      <c r="F36">
        <f t="shared" si="2"/>
        <v>-1.0666666666666667</v>
      </c>
      <c r="G36">
        <f t="shared" si="3"/>
        <v>-1.0666666666666667</v>
      </c>
      <c r="L36">
        <f t="shared" si="7"/>
        <v>-0.06</v>
      </c>
      <c r="M36">
        <f t="shared" si="4"/>
        <v>-0.52777777777777779</v>
      </c>
    </row>
    <row r="37" spans="1:14">
      <c r="A37">
        <v>13</v>
      </c>
      <c r="B37">
        <f t="shared" si="6"/>
        <v>2.5525440310417071</v>
      </c>
      <c r="C37" s="3">
        <v>0.79166666666666696</v>
      </c>
      <c r="D37" s="2">
        <f t="shared" si="5"/>
        <v>42.198927247382905</v>
      </c>
      <c r="E37">
        <f t="shared" si="1"/>
        <v>3.8278789055050595</v>
      </c>
      <c r="F37">
        <f t="shared" si="2"/>
        <v>-1.0666666666666667</v>
      </c>
      <c r="G37">
        <f t="shared" si="3"/>
        <v>-1.0666666666666667</v>
      </c>
      <c r="L37">
        <f t="shared" si="7"/>
        <v>-0.06</v>
      </c>
      <c r="M37">
        <f t="shared" si="4"/>
        <v>-0.52777777777777779</v>
      </c>
      <c r="N37">
        <f>-I$15</f>
        <v>-0.15</v>
      </c>
    </row>
    <row r="38" spans="1:14">
      <c r="A38">
        <v>14</v>
      </c>
      <c r="B38">
        <f t="shared" si="6"/>
        <v>2.748893571891069</v>
      </c>
      <c r="C38" s="3">
        <v>0.83333333333333304</v>
      </c>
      <c r="D38" s="2">
        <f t="shared" si="5"/>
        <v>41.814504985267263</v>
      </c>
      <c r="E38">
        <f t="shared" si="1"/>
        <v>2.6366888489954694</v>
      </c>
      <c r="F38">
        <f t="shared" si="2"/>
        <v>-1.0666666666666667</v>
      </c>
      <c r="G38">
        <f t="shared" si="3"/>
        <v>-1.0666666666666667</v>
      </c>
      <c r="H38">
        <f>-I9</f>
        <v>-0.3</v>
      </c>
      <c r="L38">
        <f t="shared" si="7"/>
        <v>-0.06</v>
      </c>
      <c r="M38">
        <f t="shared" si="4"/>
        <v>-0.52777777777777779</v>
      </c>
      <c r="N38">
        <f>-I$15</f>
        <v>-0.15</v>
      </c>
    </row>
    <row r="39" spans="1:14">
      <c r="A39">
        <v>15</v>
      </c>
      <c r="B39">
        <f t="shared" si="6"/>
        <v>2.9452431127404308</v>
      </c>
      <c r="C39" s="3">
        <v>0.875</v>
      </c>
      <c r="D39" s="2">
        <f t="shared" si="5"/>
        <v>37.937566192847278</v>
      </c>
      <c r="E39">
        <f t="shared" si="1"/>
        <v>1.3441723186911263</v>
      </c>
      <c r="F39">
        <f t="shared" si="2"/>
        <v>-1.0666666666666667</v>
      </c>
      <c r="G39">
        <f t="shared" si="3"/>
        <v>-1.0666666666666667</v>
      </c>
      <c r="I39">
        <f>-I10</f>
        <v>-2.5</v>
      </c>
      <c r="L39">
        <f t="shared" si="7"/>
        <v>-0.06</v>
      </c>
      <c r="M39">
        <f t="shared" si="4"/>
        <v>-0.52777777777777779</v>
      </c>
      <c r="N39">
        <f>-I$15</f>
        <v>-0.15</v>
      </c>
    </row>
    <row r="40" spans="1:14">
      <c r="A40">
        <v>16</v>
      </c>
      <c r="B40">
        <f t="shared" si="6"/>
        <v>3.1415926535897931</v>
      </c>
      <c r="C40" s="3">
        <v>0.91666666666666696</v>
      </c>
      <c r="D40" s="2">
        <f t="shared" si="5"/>
        <v>34.716455081736171</v>
      </c>
      <c r="E40">
        <f t="shared" si="1"/>
        <v>8.4412728543203927E-16</v>
      </c>
      <c r="F40">
        <f t="shared" si="2"/>
        <v>-1.0666666666666667</v>
      </c>
      <c r="G40">
        <f t="shared" si="3"/>
        <v>-1.0666666666666667</v>
      </c>
      <c r="K40">
        <f>-I12</f>
        <v>-0.5</v>
      </c>
      <c r="L40">
        <f t="shared" si="7"/>
        <v>-0.06</v>
      </c>
      <c r="M40">
        <f t="shared" si="4"/>
        <v>-0.52777777777777779</v>
      </c>
      <c r="N40">
        <f>-I$15</f>
        <v>-0.15</v>
      </c>
    </row>
    <row r="41" spans="1:14">
      <c r="C41" s="3">
        <v>0.95833333333333304</v>
      </c>
      <c r="D41" s="2">
        <f t="shared" si="5"/>
        <v>32.05534397062506</v>
      </c>
      <c r="E41">
        <f t="shared" si="1"/>
        <v>0</v>
      </c>
      <c r="F41">
        <f t="shared" si="2"/>
        <v>-1.0666666666666667</v>
      </c>
      <c r="G41">
        <f t="shared" si="3"/>
        <v>-1.0666666666666667</v>
      </c>
      <c r="M41">
        <f t="shared" si="4"/>
        <v>-0.52777777777777779</v>
      </c>
    </row>
    <row r="42" spans="1:14">
      <c r="C42" s="3">
        <v>1</v>
      </c>
      <c r="D42" s="2">
        <f t="shared" si="5"/>
        <v>29.394232859513949</v>
      </c>
      <c r="E42">
        <f t="shared" si="1"/>
        <v>0</v>
      </c>
      <c r="F42">
        <f t="shared" si="2"/>
        <v>-1.0666666666666667</v>
      </c>
      <c r="G42">
        <f t="shared" si="3"/>
        <v>-1.0666666666666667</v>
      </c>
      <c r="M42">
        <f t="shared" si="4"/>
        <v>-0.52777777777777779</v>
      </c>
    </row>
    <row r="43" spans="1:14">
      <c r="C43" s="1"/>
    </row>
    <row r="49" spans="26:26">
      <c r="Z49" t="s">
        <v>34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C3:G7"/>
  <sheetViews>
    <sheetView workbookViewId="0">
      <selection activeCell="C20" sqref="C20"/>
    </sheetView>
  </sheetViews>
  <sheetFormatPr defaultRowHeight="15"/>
  <sheetData>
    <row r="3" spans="3:7">
      <c r="C3">
        <v>312</v>
      </c>
      <c r="E3">
        <v>500</v>
      </c>
      <c r="F3">
        <f>E3-C3</f>
        <v>188</v>
      </c>
      <c r="G3">
        <f>F3/41.16</f>
        <v>4.5675413022351803</v>
      </c>
    </row>
    <row r="4" spans="3:7">
      <c r="G4">
        <f>INT(G3+0.5)</f>
        <v>5</v>
      </c>
    </row>
    <row r="5" spans="3:7">
      <c r="E5">
        <f>INT((E3-312)/41.16+0.5)*41.16+312</f>
        <v>517.79999999999995</v>
      </c>
      <c r="G5">
        <f>G4*41.16+312</f>
        <v>517.79999999999995</v>
      </c>
    </row>
    <row r="6" spans="3:7">
      <c r="E6">
        <f>E5-312</f>
        <v>205.79999999999995</v>
      </c>
    </row>
    <row r="7" spans="3:7">
      <c r="E7">
        <f>E6/41.16</f>
        <v>4.9999999999999991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SUNY Geneseo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LABtop</dc:creator>
  <cp:lastModifiedBy>Windows User</cp:lastModifiedBy>
  <dcterms:created xsi:type="dcterms:W3CDTF">2017-04-29T02:22:49Z</dcterms:created>
  <dcterms:modified xsi:type="dcterms:W3CDTF">2017-04-30T06:16:53Z</dcterms:modified>
</cp:coreProperties>
</file>